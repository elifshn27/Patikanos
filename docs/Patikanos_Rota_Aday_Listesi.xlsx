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talar" sheetId="1" state="visible" r:id="rId3"/>
    <sheet name="Özet" sheetId="2" state="visible" r:id="rId4"/>
  </sheets>
  <definedNames>
    <definedName function="false" hidden="true" localSheetId="0" name="_xlnm._FilterDatabase" vbProcedure="false">Rotalar!$A$1:$I$17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<sst xmlns="http://schemas.openxmlformats.org/spreadsheetml/2006/main" count="141" uniqueCount="66">
  <si>
    <t xml:space="preserve">ID</t>
  </si>
  <si>
    <t xml:space="preserve">Rota adı</t>
  </si>
  <si>
    <t xml:space="preserve">Bölge</t>
  </si>
  <si>
    <t xml:space="preserve">Tür</t>
  </si>
  <si>
    <t xml:space="preserve">Mesafe (km)</t>
  </si>
  <si>
    <t xml:space="preserve">Tırmanış (m)</t>
  </si>
  <si>
    <t xml:space="preserve">Zorluk</t>
  </si>
  <si>
    <t xml:space="preserve">Kaynak</t>
  </si>
  <si>
    <t xml:space="preserve">Link</t>
  </si>
  <si>
    <t xml:space="preserve">R01</t>
  </si>
  <si>
    <t xml:space="preserve">Ölüdeniz – Kumburnu – Sarısu döngü</t>
  </si>
  <si>
    <t xml:space="preserve">Fethiye</t>
  </si>
  <si>
    <t xml:space="preserve">Yürüyüş</t>
  </si>
  <si>
    <t xml:space="preserve">Orta</t>
  </si>
  <si>
    <t xml:space="preserve">Wikiloc</t>
  </si>
  <si>
    <t xml:space="preserve">Wikiloc'ta aç</t>
  </si>
  <si>
    <t xml:space="preserve">R02</t>
  </si>
  <si>
    <t xml:space="preserve">Kayaköy – Gemiler – İblis Burnu döngü</t>
  </si>
  <si>
    <t xml:space="preserve">R03</t>
  </si>
  <si>
    <t xml:space="preserve">Likya Yolu: Faralya – Kabak</t>
  </si>
  <si>
    <t xml:space="preserve">R04</t>
  </si>
  <si>
    <t xml:space="preserve">Karia Yolu Bozburun Etap 1: İçmeler – Kumlubük</t>
  </si>
  <si>
    <t xml:space="preserve">Marmaris</t>
  </si>
  <si>
    <t xml:space="preserve">Zor</t>
  </si>
  <si>
    <t xml:space="preserve">R05</t>
  </si>
  <si>
    <t xml:space="preserve">Karia Yolu Bozburun Etap 2: Kumlubük – Bayır</t>
  </si>
  <si>
    <t xml:space="preserve">R06</t>
  </si>
  <si>
    <t xml:space="preserve">Karia Yolu: Akyaka – Turnalı</t>
  </si>
  <si>
    <t xml:space="preserve">Ula</t>
  </si>
  <si>
    <t xml:space="preserve">R07</t>
  </si>
  <si>
    <t xml:space="preserve">Toparlar Şelalesi</t>
  </si>
  <si>
    <t xml:space="preserve">Köyceğiz</t>
  </si>
  <si>
    <t xml:space="preserve">Kolay</t>
  </si>
  <si>
    <t xml:space="preserve">R08</t>
  </si>
  <si>
    <t xml:space="preserve">Bitez – Akvaryum Köyü</t>
  </si>
  <si>
    <t xml:space="preserve">Bodrum</t>
  </si>
  <si>
    <t xml:space="preserve">R09</t>
  </si>
  <si>
    <t xml:space="preserve">Yokuşbaşı – Gebe Kilise – Pedasa Leleg Yolu</t>
  </si>
  <si>
    <t xml:space="preserve">R10</t>
  </si>
  <si>
    <t xml:space="preserve">Karia Yolu: Değirmendere Kanyonu</t>
  </si>
  <si>
    <t xml:space="preserve">Menteşe</t>
  </si>
  <si>
    <t xml:space="preserve">R11</t>
  </si>
  <si>
    <t xml:space="preserve">Karia Yolu: Akbük – Ören</t>
  </si>
  <si>
    <t xml:space="preserve">Milas</t>
  </si>
  <si>
    <t xml:space="preserve">R12</t>
  </si>
  <si>
    <t xml:space="preserve">Kötekli turu</t>
  </si>
  <si>
    <t xml:space="preserve">Bisiklet</t>
  </si>
  <si>
    <t xml:space="preserve">R13</t>
  </si>
  <si>
    <t xml:space="preserve">Akyaka – Çamlı – İncelum Plajı</t>
  </si>
  <si>
    <t xml:space="preserve">R14</t>
  </si>
  <si>
    <t xml:space="preserve">Dalyan – Sultaniye – Köyceğiz – Eskiköy</t>
  </si>
  <si>
    <t xml:space="preserve">Ortaca</t>
  </si>
  <si>
    <t xml:space="preserve">R15</t>
  </si>
  <si>
    <t xml:space="preserve">Mesudiye Demlik Camping – Palamutbükü</t>
  </si>
  <si>
    <t xml:space="preserve">Datça</t>
  </si>
  <si>
    <t xml:space="preserve">R16</t>
  </si>
  <si>
    <t xml:space="preserve">Datça – Kargı Plajı</t>
  </si>
  <si>
    <t xml:space="preserve">Not: Mesafe, tırmanış ve zorluk bilgileri ekim 2026'da Wikiloc rota sayfalarından alınmıştır. Mil/feet olarak verilenler km/m'ye çevrilmiştir.</t>
  </si>
  <si>
    <t xml:space="preserve">Kategori</t>
  </si>
  <si>
    <t xml:space="preserve">Değer</t>
  </si>
  <si>
    <t xml:space="preserve">Rota sayısı</t>
  </si>
  <si>
    <t xml:space="preserve">Toplam</t>
  </si>
  <si>
    <t xml:space="preserve">Rota</t>
  </si>
  <si>
    <t xml:space="preserve">Mesafe</t>
  </si>
  <si>
    <t xml:space="preserve">Ortalama (km)</t>
  </si>
  <si>
    <t xml:space="preserve">Farklı bölge sayısı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</si>
</sst>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0563C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F559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tr.wikiloc.com/gezi-yuruyus-rotalari/mugla-ili-fethiye-ilcesi-oludeniz-kumburnu-tepesi-yogun-burnu-ve-sarisu-plaji-dongu-parkuru-126677349" TargetMode="External"/><Relationship Id="rId2" Type="http://schemas.openxmlformats.org/officeDocument/2006/relationships/hyperlink" Target="https://tr.wikiloc.com/gezi-yuruyus-rotalari/mugla-ili-fethiye-ilcesi-kayakoy-mahallesi-iblis-burnu-yarim-adasi-darbogaz-koyu-ve-akvaryum-koyu-d-77323793" TargetMode="External"/><Relationship Id="rId3" Type="http://schemas.openxmlformats.org/officeDocument/2006/relationships/hyperlink" Target="https://tr.wikiloc.com/gezi-yuruyus-rotalari/likya-yolu-lycia-way-nun-mugla-ili-fethiye-ilcesi-faralya-mah-kelebekler-vadisi-sirtlari-aktas-plaj-166688797" TargetMode="External"/><Relationship Id="rId4" Type="http://schemas.openxmlformats.org/officeDocument/2006/relationships/hyperlink" Target="https://tr.wikiloc.com/gezi-yuruyus-rotalari/karia-yolu-bozburun-etap-1-icmeler-amos-kumlubuk-13-km-253148956" TargetMode="External"/><Relationship Id="rId5" Type="http://schemas.openxmlformats.org/officeDocument/2006/relationships/hyperlink" Target="https://tr.wikiloc.com/gezi-yuruyus-rotalari/karia-yolu-bozburun-etap-2-kumlubuk-bayir-14-km-253149130" TargetMode="External"/><Relationship Id="rId6" Type="http://schemas.openxmlformats.org/officeDocument/2006/relationships/hyperlink" Target="https://tr.wikiloc.com/gezi-yuruyus-rotalari/karya-yolu-akyaka-turnali-196471095" TargetMode="External"/><Relationship Id="rId7" Type="http://schemas.openxmlformats.org/officeDocument/2006/relationships/hyperlink" Target="https://tr.wikiloc.com/gezi-yuruyus-rotalari/toparlar-selalesi-doga-yuruyusu-280286946" TargetMode="External"/><Relationship Id="rId8" Type="http://schemas.openxmlformats.org/officeDocument/2006/relationships/hyperlink" Target="https://tr.wikiloc.com/gezi-yuruyus-rotalari/bodrum-bitez-koylari-6-km-150994201" TargetMode="External"/><Relationship Id="rId9" Type="http://schemas.openxmlformats.org/officeDocument/2006/relationships/hyperlink" Target="https://tr.wikiloc.com/gezi-yuruyus-rotalari/yokusbasi-gebe-kilise-pedasa-yokusbasi-leleg-yolu-90579411" TargetMode="External"/><Relationship Id="rId10" Type="http://schemas.openxmlformats.org/officeDocument/2006/relationships/hyperlink" Target="https://tr.wikiloc.com/gezi-yuruyus-rotalari/trekinturkey-karia-yolu-degirmendere-kanyonu-hiking-13-2-2016-12265272" TargetMode="External"/><Relationship Id="rId11" Type="http://schemas.openxmlformats.org/officeDocument/2006/relationships/hyperlink" Target="https://www.wikiloc.com/hiking-trails/akbuk-oren-209932574" TargetMode="External"/><Relationship Id="rId12" Type="http://schemas.openxmlformats.org/officeDocument/2006/relationships/hyperlink" Target="https://tr.wikiloc.com/bisiklet-turu-rotalari/kotekli-turu-256069565" TargetMode="External"/><Relationship Id="rId13" Type="http://schemas.openxmlformats.org/officeDocument/2006/relationships/hyperlink" Target="https://tr.wikiloc.com/bisiklet-turu-rotalari/akyaka-camli-incelum-plaji-227454508" TargetMode="External"/><Relationship Id="rId14" Type="http://schemas.openxmlformats.org/officeDocument/2006/relationships/hyperlink" Target="https://www.wikiloc.com/cycling-trails/dalyan-sultaniye-koycegiz-eskikoy-dalyan-36171894" TargetMode="External"/><Relationship Id="rId15" Type="http://schemas.openxmlformats.org/officeDocument/2006/relationships/hyperlink" Target="https://tr.wikiloc.com/bisiklet-rotalari/mesudiye-demlik-camping-palamutbuku-289319606" TargetMode="External"/><Relationship Id="rId16" Type="http://schemas.openxmlformats.org/officeDocument/2006/relationships/hyperlink" Target="https://tr.wikiloc.com/bisiklet-rotalari/datca-kargi-plaji-186444609" TargetMode="External"/><Relationship Id="rId17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8" min="7" style="0" width="10"/>
    <col collapsed="false" customWidth="true" hidden="false" outlineLevel="0" max="9" min="9" style="0" width="16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3" t="n">
        <v>8.69</v>
      </c>
      <c r="F2" s="4" t="n">
        <v>394</v>
      </c>
      <c r="G2" s="2" t="s">
        <v>13</v>
      </c>
      <c r="H2" s="2" t="s">
        <v>14</v>
      </c>
      <c r="I2" s="5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11</v>
      </c>
      <c r="D3" s="2" t="s">
        <v>12</v>
      </c>
      <c r="E3" s="3" t="n">
        <v>11.55</v>
      </c>
      <c r="F3" s="4" t="n">
        <v>645</v>
      </c>
      <c r="G3" s="2" t="s">
        <v>13</v>
      </c>
      <c r="H3" s="2" t="s">
        <v>14</v>
      </c>
      <c r="I3" s="5" t="s">
        <v>15</v>
      </c>
    </row>
    <row r="4" customFormat="false" ht="15" hidden="false" customHeight="false" outlineLevel="0" collapsed="false">
      <c r="A4" s="2" t="s">
        <v>18</v>
      </c>
      <c r="B4" s="2" t="s">
        <v>19</v>
      </c>
      <c r="C4" s="2" t="s">
        <v>11</v>
      </c>
      <c r="D4" s="2" t="s">
        <v>12</v>
      </c>
      <c r="E4" s="3" t="n">
        <v>9.04</v>
      </c>
      <c r="F4" s="4" t="n">
        <v>410</v>
      </c>
      <c r="G4" s="2" t="s">
        <v>13</v>
      </c>
      <c r="H4" s="2" t="s">
        <v>14</v>
      </c>
      <c r="I4" s="5" t="s">
        <v>15</v>
      </c>
    </row>
    <row r="5" customFormat="false" ht="15" hidden="false" customHeight="false" outlineLevel="0" collapsed="false">
      <c r="A5" s="2" t="s">
        <v>20</v>
      </c>
      <c r="B5" s="2" t="s">
        <v>21</v>
      </c>
      <c r="C5" s="2" t="s">
        <v>22</v>
      </c>
      <c r="D5" s="2" t="s">
        <v>12</v>
      </c>
      <c r="E5" s="3" t="n">
        <v>13.18</v>
      </c>
      <c r="F5" s="4" t="n">
        <v>747</v>
      </c>
      <c r="G5" s="2" t="s">
        <v>23</v>
      </c>
      <c r="H5" s="2" t="s">
        <v>14</v>
      </c>
      <c r="I5" s="5" t="s">
        <v>15</v>
      </c>
    </row>
    <row r="6" customFormat="false" ht="15" hidden="false" customHeight="false" outlineLevel="0" collapsed="false">
      <c r="A6" s="2" t="s">
        <v>24</v>
      </c>
      <c r="B6" s="2" t="s">
        <v>25</v>
      </c>
      <c r="C6" s="2" t="s">
        <v>22</v>
      </c>
      <c r="D6" s="2" t="s">
        <v>12</v>
      </c>
      <c r="E6" s="3" t="n">
        <v>14.1</v>
      </c>
      <c r="F6" s="4" t="n">
        <v>750</v>
      </c>
      <c r="G6" s="2" t="s">
        <v>23</v>
      </c>
      <c r="H6" s="2" t="s">
        <v>14</v>
      </c>
      <c r="I6" s="5" t="s">
        <v>15</v>
      </c>
    </row>
    <row r="7" customFormat="false" ht="15" hidden="false" customHeight="false" outlineLevel="0" collapsed="false">
      <c r="A7" s="2" t="s">
        <v>26</v>
      </c>
      <c r="B7" s="2" t="s">
        <v>27</v>
      </c>
      <c r="C7" s="2" t="s">
        <v>28</v>
      </c>
      <c r="D7" s="2" t="s">
        <v>12</v>
      </c>
      <c r="E7" s="3" t="n">
        <v>16.16</v>
      </c>
      <c r="F7" s="4" t="n">
        <v>575</v>
      </c>
      <c r="G7" s="2" t="s">
        <v>13</v>
      </c>
      <c r="H7" s="2" t="s">
        <v>14</v>
      </c>
      <c r="I7" s="5" t="s">
        <v>15</v>
      </c>
    </row>
    <row r="8" customFormat="false" ht="15" hidden="false" customHeight="false" outlineLevel="0" collapsed="false">
      <c r="A8" s="2" t="s">
        <v>29</v>
      </c>
      <c r="B8" s="2" t="s">
        <v>30</v>
      </c>
      <c r="C8" s="2" t="s">
        <v>31</v>
      </c>
      <c r="D8" s="2" t="s">
        <v>12</v>
      </c>
      <c r="E8" s="3" t="n">
        <v>6.58</v>
      </c>
      <c r="F8" s="4" t="n">
        <v>230</v>
      </c>
      <c r="G8" s="2" t="s">
        <v>32</v>
      </c>
      <c r="H8" s="2" t="s">
        <v>14</v>
      </c>
      <c r="I8" s="5" t="s">
        <v>15</v>
      </c>
    </row>
    <row r="9" customFormat="false" ht="15" hidden="false" customHeight="false" outlineLevel="0" collapsed="false">
      <c r="A9" s="2" t="s">
        <v>33</v>
      </c>
      <c r="B9" s="2" t="s">
        <v>34</v>
      </c>
      <c r="C9" s="2" t="s">
        <v>35</v>
      </c>
      <c r="D9" s="2" t="s">
        <v>12</v>
      </c>
      <c r="E9" s="3" t="n">
        <v>5.95</v>
      </c>
      <c r="F9" s="4" t="n">
        <v>36</v>
      </c>
      <c r="G9" s="2" t="s">
        <v>32</v>
      </c>
      <c r="H9" s="2" t="s">
        <v>14</v>
      </c>
      <c r="I9" s="5" t="s">
        <v>15</v>
      </c>
    </row>
    <row r="10" customFormat="false" ht="15" hidden="false" customHeight="false" outlineLevel="0" collapsed="false">
      <c r="A10" s="2" t="s">
        <v>36</v>
      </c>
      <c r="B10" s="2" t="s">
        <v>37</v>
      </c>
      <c r="C10" s="2" t="s">
        <v>35</v>
      </c>
      <c r="D10" s="2" t="s">
        <v>12</v>
      </c>
      <c r="E10" s="3" t="n">
        <v>14.01</v>
      </c>
      <c r="F10" s="4" t="n">
        <v>694</v>
      </c>
      <c r="G10" s="2" t="s">
        <v>13</v>
      </c>
      <c r="H10" s="2" t="s">
        <v>14</v>
      </c>
      <c r="I10" s="5" t="s">
        <v>15</v>
      </c>
    </row>
    <row r="11" customFormat="false" ht="15" hidden="false" customHeight="false" outlineLevel="0" collapsed="false">
      <c r="A11" s="2" t="s">
        <v>38</v>
      </c>
      <c r="B11" s="2" t="s">
        <v>39</v>
      </c>
      <c r="C11" s="2" t="s">
        <v>40</v>
      </c>
      <c r="D11" s="2" t="s">
        <v>12</v>
      </c>
      <c r="E11" s="3" t="n">
        <v>11.02</v>
      </c>
      <c r="F11" s="4" t="n">
        <v>318</v>
      </c>
      <c r="G11" s="2" t="s">
        <v>32</v>
      </c>
      <c r="H11" s="2" t="s">
        <v>14</v>
      </c>
      <c r="I11" s="5" t="s">
        <v>15</v>
      </c>
    </row>
    <row r="12" customFormat="false" ht="15" hidden="false" customHeight="false" outlineLevel="0" collapsed="false">
      <c r="A12" s="2" t="s">
        <v>41</v>
      </c>
      <c r="B12" s="2" t="s">
        <v>42</v>
      </c>
      <c r="C12" s="2" t="s">
        <v>43</v>
      </c>
      <c r="D12" s="2" t="s">
        <v>12</v>
      </c>
      <c r="E12" s="3" t="n">
        <v>16.9</v>
      </c>
      <c r="F12" s="4" t="n">
        <v>747</v>
      </c>
      <c r="G12" s="2" t="s">
        <v>23</v>
      </c>
      <c r="H12" s="2" t="s">
        <v>14</v>
      </c>
      <c r="I12" s="5" t="s">
        <v>15</v>
      </c>
    </row>
    <row r="13" customFormat="false" ht="15" hidden="false" customHeight="false" outlineLevel="0" collapsed="false">
      <c r="A13" s="2" t="s">
        <v>44</v>
      </c>
      <c r="B13" s="2" t="s">
        <v>45</v>
      </c>
      <c r="C13" s="2" t="s">
        <v>40</v>
      </c>
      <c r="D13" s="2" t="s">
        <v>46</v>
      </c>
      <c r="E13" s="3" t="n">
        <v>18.15</v>
      </c>
      <c r="F13" s="4" t="n">
        <v>89</v>
      </c>
      <c r="G13" s="2" t="s">
        <v>13</v>
      </c>
      <c r="H13" s="2" t="s">
        <v>14</v>
      </c>
      <c r="I13" s="5" t="s">
        <v>15</v>
      </c>
    </row>
    <row r="14" customFormat="false" ht="15" hidden="false" customHeight="false" outlineLevel="0" collapsed="false">
      <c r="A14" s="2" t="s">
        <v>47</v>
      </c>
      <c r="B14" s="2" t="s">
        <v>48</v>
      </c>
      <c r="C14" s="2" t="s">
        <v>28</v>
      </c>
      <c r="D14" s="2" t="s">
        <v>46</v>
      </c>
      <c r="E14" s="3" t="n">
        <v>23.22</v>
      </c>
      <c r="F14" s="4" t="n">
        <v>253</v>
      </c>
      <c r="G14" s="2" t="s">
        <v>13</v>
      </c>
      <c r="H14" s="2" t="s">
        <v>14</v>
      </c>
      <c r="I14" s="5" t="s">
        <v>15</v>
      </c>
    </row>
    <row r="15" customFormat="false" ht="15" hidden="false" customHeight="false" outlineLevel="0" collapsed="false">
      <c r="A15" s="2" t="s">
        <v>49</v>
      </c>
      <c r="B15" s="2" t="s">
        <v>50</v>
      </c>
      <c r="C15" s="2" t="s">
        <v>51</v>
      </c>
      <c r="D15" s="2" t="s">
        <v>46</v>
      </c>
      <c r="E15" s="3" t="n">
        <v>62.86</v>
      </c>
      <c r="F15" s="4" t="n">
        <v>561</v>
      </c>
      <c r="G15" s="2" t="s">
        <v>13</v>
      </c>
      <c r="H15" s="2" t="s">
        <v>14</v>
      </c>
      <c r="I15" s="5" t="s">
        <v>15</v>
      </c>
    </row>
    <row r="16" customFormat="false" ht="15" hidden="false" customHeight="false" outlineLevel="0" collapsed="false">
      <c r="A16" s="2" t="s">
        <v>52</v>
      </c>
      <c r="B16" s="2" t="s">
        <v>53</v>
      </c>
      <c r="C16" s="2" t="s">
        <v>54</v>
      </c>
      <c r="D16" s="2" t="s">
        <v>46</v>
      </c>
      <c r="E16" s="3" t="n">
        <v>14.45</v>
      </c>
      <c r="F16" s="4" t="n">
        <v>219</v>
      </c>
      <c r="G16" s="2" t="s">
        <v>32</v>
      </c>
      <c r="H16" s="2" t="s">
        <v>14</v>
      </c>
      <c r="I16" s="5" t="s">
        <v>15</v>
      </c>
    </row>
    <row r="17" customFormat="false" ht="15" hidden="false" customHeight="false" outlineLevel="0" collapsed="false">
      <c r="A17" s="2" t="s">
        <v>55</v>
      </c>
      <c r="B17" s="2" t="s">
        <v>56</v>
      </c>
      <c r="C17" s="2" t="s">
        <v>54</v>
      </c>
      <c r="D17" s="2" t="s">
        <v>46</v>
      </c>
      <c r="E17" s="3" t="n">
        <v>9.65</v>
      </c>
      <c r="F17" s="4" t="n">
        <v>91</v>
      </c>
      <c r="G17" s="2" t="s">
        <v>32</v>
      </c>
      <c r="H17" s="2" t="s">
        <v>14</v>
      </c>
      <c r="I17" s="5" t="s">
        <v>15</v>
      </c>
    </row>
    <row r="19" customFormat="false" ht="15" hidden="false" customHeight="false" outlineLevel="0" collapsed="false">
      <c r="A19" s="6" t="s">
        <v>57</v>
      </c>
    </row>
  </sheetData>
  <autoFilter ref="A1:I17"/>
  <hyperlinks>
    <hyperlink ref="I2" r:id="rId1" display="Wikiloc'ta aç"/>
    <hyperlink ref="I3" r:id="rId2" display="Wikiloc'ta aç"/>
    <hyperlink ref="I4" r:id="rId3" display="Wikiloc'ta aç"/>
    <hyperlink ref="I5" r:id="rId4" display="Wikiloc'ta aç"/>
    <hyperlink ref="I6" r:id="rId5" display="Wikiloc'ta aç"/>
    <hyperlink ref="I7" r:id="rId6" display="Wikiloc'ta aç"/>
    <hyperlink ref="I8" r:id="rId7" display="Wikiloc'ta aç"/>
    <hyperlink ref="I9" r:id="rId8" display="Wikiloc'ta aç"/>
    <hyperlink ref="I10" r:id="rId9" display="Wikiloc'ta aç"/>
    <hyperlink ref="I11" r:id="rId10" display="Wikiloc'ta aç"/>
    <hyperlink ref="I12" r:id="rId11" display="Wikiloc'ta aç"/>
    <hyperlink ref="I13" r:id="rId12" display="Wikiloc'ta aç"/>
    <hyperlink ref="I14" r:id="rId13" display="Wikiloc'ta aç"/>
    <hyperlink ref="I15" r:id="rId14" display="Wikiloc'ta aç"/>
    <hyperlink ref="I16" r:id="rId15" display="Wikiloc'ta aç"/>
    <hyperlink ref="I17" r:id="rId16" display="Wikiloc'ta aç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7" t="s">
        <v>58</v>
      </c>
      <c r="B1" s="7" t="s">
        <v>59</v>
      </c>
      <c r="C1" s="7" t="s">
        <v>60</v>
      </c>
    </row>
    <row r="2" customFormat="false" ht="15" hidden="false" customHeight="false" outlineLevel="0" collapsed="false">
      <c r="A2" s="8" t="s">
        <v>3</v>
      </c>
      <c r="B2" s="8" t="s">
        <v>12</v>
      </c>
      <c r="C2" s="8" t="n">
        <f aca="false">COUNTIF(Rotalar!$D$2:$D$17,"Yürüyüş")</f>
        <v>11</v>
      </c>
    </row>
    <row r="3" customFormat="false" ht="15" hidden="false" customHeight="false" outlineLevel="0" collapsed="false">
      <c r="A3" s="8" t="s">
        <v>3</v>
      </c>
      <c r="B3" s="8" t="s">
        <v>46</v>
      </c>
      <c r="C3" s="8" t="n">
        <f aca="false">COUNTIF(Rotalar!$D$2:$D$17,"Bisiklet")</f>
        <v>5</v>
      </c>
    </row>
    <row r="4" customFormat="false" ht="15" hidden="false" customHeight="false" outlineLevel="0" collapsed="false">
      <c r="A4" s="8" t="s">
        <v>6</v>
      </c>
      <c r="B4" s="8" t="s">
        <v>32</v>
      </c>
      <c r="C4" s="8" t="n">
        <f aca="false">COUNTIF(Rotalar!$G$2:$G$17,"Kolay")</f>
        <v>5</v>
      </c>
    </row>
    <row r="5" customFormat="false" ht="15" hidden="false" customHeight="false" outlineLevel="0" collapsed="false">
      <c r="A5" s="8" t="s">
        <v>6</v>
      </c>
      <c r="B5" s="8" t="s">
        <v>13</v>
      </c>
      <c r="C5" s="8" t="n">
        <f aca="false">COUNTIF(Rotalar!$G$2:$G$17,"Orta")</f>
        <v>8</v>
      </c>
    </row>
    <row r="6" customFormat="false" ht="15" hidden="false" customHeight="false" outlineLevel="0" collapsed="false">
      <c r="A6" s="9" t="s">
        <v>6</v>
      </c>
      <c r="B6" s="8" t="s">
        <v>23</v>
      </c>
      <c r="C6" s="8" t="n">
        <f aca="false">COUNTIF(Rotalar!$G$2:$G$17,"Zor")</f>
        <v>3</v>
      </c>
    </row>
    <row r="7" customFormat="false" ht="15" hidden="false" customHeight="false" outlineLevel="0" collapsed="false">
      <c r="A7" s="8" t="s">
        <v>61</v>
      </c>
      <c r="B7" s="8" t="s">
        <v>62</v>
      </c>
      <c r="C7" s="8" t="n">
        <f aca="false">COUNTA(Rotalar!$A$2:$A$17)</f>
        <v>16</v>
      </c>
    </row>
    <row r="8" customFormat="false" ht="15" hidden="false" customHeight="false" outlineLevel="0" collapsed="false">
      <c r="A8" s="8" t="s">
        <v>63</v>
      </c>
      <c r="B8" s="8" t="s">
        <v>64</v>
      </c>
      <c r="C8" s="8" t="n">
        <f aca="false">ROUND(AVERAGE(Rotalar!$E$2:$E$17),1)</f>
        <v>16</v>
      </c>
    </row>
    <row r="9" customFormat="false" ht="15" hidden="false" customHeight="false" outlineLevel="0" collapsed="false">
      <c r="A9" s="8" t="s">
        <v>2</v>
      </c>
      <c r="B9" s="8" t="s">
        <v>65</v>
      </c>
      <c r="C9" s="8" t="n">
        <f aca="false">SUMPRODUCT(1/COUNTIF(Rotalar!$C$2:$C$17,Rotalar!$C$2:$C$17))</f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2026-10-17T09:54:24Z</dcterms:created>
  <dc:creator>openpyxl</dc:creator>
  <dc:description/>
  <dc:language>en-US</dc:language>
  <cp:lastModifiedBy/>
  <dcterms:modified xsi:type="dcterms:W3CDTF">2026-10-17T09:54:24Z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